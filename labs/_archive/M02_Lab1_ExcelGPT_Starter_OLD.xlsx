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d/Library/CloudStorage/Dropbox/5_Courses/DADS5250-GenAI/labs/M02/"/>
    </mc:Choice>
  </mc:AlternateContent>
  <xr:revisionPtr revIDLastSave="0" documentId="13_ncr:1_{9718325E-382B-6445-82F8-DECDDBB5FE9B}" xr6:coauthVersionLast="47" xr6:coauthVersionMax="47" xr10:uidLastSave="{00000000-0000-0000-0000-000000000000}"/>
  <bookViews>
    <workbookView xWindow="0" yWindow="660" windowWidth="30240" windowHeight="17740" activeTab="1" xr2:uid="{00000000-000D-0000-FFFF-FFFF00000000}"/>
  </bookViews>
  <sheets>
    <sheet name="Student Info" sheetId="1" r:id="rId1"/>
    <sheet name="Setup" sheetId="2" r:id="rId2"/>
    <sheet name="Macro1" sheetId="8" r:id="rId3"/>
    <sheet name="Sales" sheetId="3" r:id="rId4"/>
    <sheet name="Regression" sheetId="4" r:id="rId5"/>
    <sheet name="Reviews" sheetId="5" r:id="rId6"/>
    <sheet name="Classify" sheetId="6" r:id="rId7"/>
    <sheet name="Ask Anything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" l="1"/>
  <c r="C13" i="7"/>
  <c r="C12" i="7"/>
  <c r="C11" i="7"/>
  <c r="C15" i="6"/>
  <c r="C14" i="6"/>
  <c r="B8" i="6"/>
  <c r="B7" i="6"/>
  <c r="B6" i="6"/>
  <c r="B5" i="6"/>
  <c r="B4" i="6"/>
  <c r="C17" i="5"/>
  <c r="C16" i="5"/>
  <c r="C15" i="5"/>
  <c r="C21" i="4"/>
  <c r="C20" i="4"/>
  <c r="C19" i="4"/>
  <c r="C22" i="3"/>
</calcChain>
</file>

<file path=xl/sharedStrings.xml><?xml version="1.0" encoding="utf-8"?>
<sst xmlns="http://schemas.openxmlformats.org/spreadsheetml/2006/main" count="105" uniqueCount="88">
  <si>
    <t>Module 2, Lab 1: Excel GPT</t>
  </si>
  <si>
    <t>Student Information and Declaration</t>
  </si>
  <si>
    <t>First Name</t>
  </si>
  <si>
    <t>Last Name</t>
  </si>
  <si>
    <t>Student ID</t>
  </si>
  <si>
    <t>Declaration of Completion</t>
  </si>
  <si>
    <t>I certify that the work in this lab is my own. I completed the exercises myself, I did not share my API key, and I followed the course academic integrity policy.</t>
  </si>
  <si>
    <t>Signature (type your full name)</t>
  </si>
  <si>
    <t>Date</t>
  </si>
  <si>
    <t>Setup: Load the Tools and Add Your API Key</t>
  </si>
  <si>
    <t>Do this once. It takes about two minutes.</t>
  </si>
  <si>
    <t>Your OpenAI API key</t>
  </si>
  <si>
    <t>-&gt;</t>
  </si>
  <si>
    <t>Model (optional, advanced)</t>
  </si>
  <si>
    <t>gpt-4.1-mini</t>
  </si>
  <si>
    <t>Leave the model as is unless you know you want a different one. gpt-4.1-mini is fast and cheap.</t>
  </si>
  <si>
    <t>1. Press Alt + F11 to open the VBA editor.</t>
  </si>
  <si>
    <t>2. Choose Insert then Module.</t>
  </si>
  <si>
    <t>3. Open ExcelGPT.bas, copy all of it, and paste it into the module.</t>
  </si>
  <si>
    <t>4. Close the editor and come back to this tab.</t>
  </si>
  <si>
    <t>5. Paste your OpenAI API key into the highlighted cell to the right.</t>
  </si>
  <si>
    <t>6. Go to any use-case tab and press Ctrl + Alt + F9 to run the examples.</t>
  </si>
  <si>
    <t>Keep your key safe. Never share this file with your key still in it.</t>
  </si>
  <si>
    <t>Monthly Sales Data</t>
  </si>
  <si>
    <t>Month</t>
  </si>
  <si>
    <t>Product_Category</t>
  </si>
  <si>
    <t>Revenue</t>
  </si>
  <si>
    <t>Units_Sold</t>
  </si>
  <si>
    <t>Returns</t>
  </si>
  <si>
    <t>Jan</t>
  </si>
  <si>
    <t>Electronics</t>
  </si>
  <si>
    <t>Feb</t>
  </si>
  <si>
    <t>Clothing</t>
  </si>
  <si>
    <t>Mar</t>
  </si>
  <si>
    <t>Apr</t>
  </si>
  <si>
    <t>Home</t>
  </si>
  <si>
    <t>May</t>
  </si>
  <si>
    <t>Jun</t>
  </si>
  <si>
    <t>Jul</t>
  </si>
  <si>
    <t>Aug</t>
  </si>
  <si>
    <t>Sep</t>
  </si>
  <si>
    <t>Oct</t>
  </si>
  <si>
    <t>Nov</t>
  </si>
  <si>
    <t>Dec</t>
  </si>
  <si>
    <t>TRY THESE</t>
  </si>
  <si>
    <t>These show #NAME? until you load the VBA and add your key on the Setup tab, then press Ctrl+Alt+F9.</t>
  </si>
  <si>
    <t>Total revenue (AI does the sum)</t>
  </si>
  <si>
    <t>Which category earns the most?</t>
  </si>
  <si>
    <t>Average units for Electronics</t>
  </si>
  <si>
    <t>Ad Spend vs Sales</t>
  </si>
  <si>
    <t>Ad_Spend</t>
  </si>
  <si>
    <t>Sales</t>
  </si>
  <si>
    <t>Describe the relationship</t>
  </si>
  <si>
    <t>Approximate slope</t>
  </si>
  <si>
    <t>Predict sales at 9500</t>
  </si>
  <si>
    <t>Customer Reviews</t>
  </si>
  <si>
    <t>Review</t>
  </si>
  <si>
    <t>The setup was quick but the battery drains way too fast.</t>
  </si>
  <si>
    <t>Absolutely love it, best purchase I made this year!</t>
  </si>
  <si>
    <t>Customer service never responded to my emails. Frustrating.</t>
  </si>
  <si>
    <t>Good value for the price, though the packaging was damaged.</t>
  </si>
  <si>
    <t>Works as described. Nothing special but it does the job.</t>
  </si>
  <si>
    <t>The app keeps crashing on my phone, very disappointing.</t>
  </si>
  <si>
    <t>Summarize the main themes</t>
  </si>
  <si>
    <t>Overall sentiment</t>
  </si>
  <si>
    <t>Five word summary</t>
  </si>
  <si>
    <t>Classify Each Message</t>
  </si>
  <si>
    <t>Message</t>
  </si>
  <si>
    <t>AI Label</t>
  </si>
  <si>
    <t>Shipping was super fast, thank you!</t>
  </si>
  <si>
    <t>Item arrived broken and unusable.</t>
  </si>
  <si>
    <t>It's okay, not great, not terrible.</t>
  </si>
  <si>
    <t>Best coffee maker I have ever owned!</t>
  </si>
  <si>
    <t>Waited three weeks and still nothing.</t>
  </si>
  <si>
    <t>HOW IT WORKS</t>
  </si>
  <si>
    <t>Column B already has a formula per row.</t>
  </si>
  <si>
    <t>Try your own</t>
  </si>
  <si>
    <t>General Prompts</t>
  </si>
  <si>
    <t>Name</t>
  </si>
  <si>
    <t>Maria</t>
  </si>
  <si>
    <t>David</t>
  </si>
  <si>
    <t>Priya</t>
  </si>
  <si>
    <t>Ask for KPIs</t>
  </si>
  <si>
    <t>Translate to Spanish</t>
  </si>
  <si>
    <t>Write a thank you line</t>
  </si>
  <si>
    <t> </t>
  </si>
  <si>
    <t>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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</si>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</sst>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rgb="FF001A70"/>
      <name val="Calibri"/>
      <family val="2"/>
    </font>
    <font>
      <sz val="11"/>
      <color rgb="FF1E293B"/>
      <name val="Calibri"/>
      <family val="2"/>
    </font>
    <font>
      <b/>
      <sz val="11"/>
      <color rgb="FF001A70"/>
      <name val="Calibri"/>
      <family val="2"/>
    </font>
    <font>
      <b/>
      <sz val="11"/>
      <color rgb="FF2563EB"/>
      <name val="Calibri"/>
      <family val="2"/>
    </font>
    <font>
      <i/>
      <sz val="11"/>
      <color rgb="FF5A6B85"/>
      <name val="Calibri"/>
      <family val="2"/>
    </font>
    <font>
      <b/>
      <sz val="11"/>
      <color rgb="FF1E293B"/>
      <name val="Calibri"/>
      <family val="2"/>
    </font>
    <font>
      <sz val="11"/>
      <color rgb="FF334155"/>
      <name val="Calibri"/>
      <family val="2"/>
    </font>
    <font>
      <sz val="11"/>
      <color rgb="FF001A70"/>
      <name val="Consolas"/>
      <family val="2"/>
    </font>
    <font>
      <sz val="13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6D9"/>
      </patternFill>
    </fill>
    <fill>
      <patternFill patternType="solid">
        <fgColor rgb="FFDCE9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E5C97B"/>
      </bottom>
      <diagonal/>
    </border>
    <border>
      <left/>
      <right/>
      <top/>
      <bottom style="medium">
        <color rgb="FF2563EB"/>
      </bottom>
      <diagonal/>
    </border>
    <border>
      <left/>
      <right/>
      <top/>
      <bottom style="thin">
        <color rgb="FFDCE3EE"/>
      </bottom>
      <diagonal/>
    </border>
    <border>
      <left/>
      <right/>
      <top/>
      <bottom style="medium">
        <color rgb="FF2563EB"/>
      </bottom>
      <diagonal/>
    </border>
    <border>
      <left/>
      <right/>
      <top/>
      <bottom style="medium">
        <color rgb="FF2563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2" borderId="1" xfId="0" applyFont="1" applyFill="1" applyBorder="1"/>
    <xf numFmtId="0" fontId="7" fillId="0" borderId="0" xfId="0" applyFont="1"/>
    <xf numFmtId="0" fontId="7" fillId="0" borderId="3" xfId="0" applyFont="1" applyBorder="1"/>
    <xf numFmtId="0" fontId="8" fillId="0" borderId="0" xfId="0" applyFont="1"/>
    <xf numFmtId="0" fontId="8" fillId="0" borderId="3" xfId="0" applyFont="1" applyBorder="1"/>
    <xf numFmtId="0" fontId="7" fillId="0" borderId="0" xfId="0" applyFont="1" applyAlignment="1">
      <alignment vertical="top" wrapText="1"/>
    </xf>
    <xf numFmtId="0" fontId="0" fillId="0" borderId="0" xfId="0"/>
    <xf numFmtId="0" fontId="0" fillId="3" borderId="5" xfId="0" applyFill="1" applyBorder="1"/>
    <xf numFmtId="0" fontId="0" fillId="0" borderId="4" xfId="0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4"/>
  <sheetViews>
    <sheetView showGridLines="0" workbookViewId="0"/>
  </sheetViews>
  <sheetFormatPr baseColWidth="10" defaultColWidth="8.83203125" defaultRowHeight="15" x14ac:dyDescent="0.2"/>
  <cols>
    <col min="1" max="1" width="30" customWidth="1"/>
    <col min="2" max="2" width="32" customWidth="1"/>
    <col min="3" max="4" width="14" customWidth="1"/>
  </cols>
  <sheetData>
    <row r="1" spans="1:4" ht="20" x14ac:dyDescent="0.25">
      <c r="A1" s="1" t="s">
        <v>0</v>
      </c>
    </row>
    <row r="2" spans="1:4" x14ac:dyDescent="0.2">
      <c r="A2" s="6" t="s">
        <v>1</v>
      </c>
    </row>
    <row r="4" spans="1:4" x14ac:dyDescent="0.2">
      <c r="A4" s="7" t="s">
        <v>2</v>
      </c>
      <c r="B4" s="2"/>
    </row>
    <row r="5" spans="1:4" x14ac:dyDescent="0.2">
      <c r="A5" s="7" t="s">
        <v>3</v>
      </c>
      <c r="B5" s="2"/>
    </row>
    <row r="6" spans="1:4" x14ac:dyDescent="0.2">
      <c r="A6" s="7" t="s">
        <v>4</v>
      </c>
      <c r="B6" s="2"/>
    </row>
    <row r="8" spans="1:4" x14ac:dyDescent="0.2">
      <c r="A8" s="3" t="s">
        <v>5</v>
      </c>
      <c r="B8" s="15"/>
      <c r="C8" s="16"/>
      <c r="D8" s="16"/>
    </row>
    <row r="9" spans="1:4" x14ac:dyDescent="0.2">
      <c r="A9" s="13" t="s">
        <v>6</v>
      </c>
      <c r="B9" s="14"/>
      <c r="C9" s="14"/>
      <c r="D9" s="14"/>
    </row>
    <row r="10" spans="1:4" x14ac:dyDescent="0.2">
      <c r="A10" s="14"/>
      <c r="B10" s="14"/>
      <c r="C10" s="14"/>
      <c r="D10" s="14"/>
    </row>
    <row r="11" spans="1:4" x14ac:dyDescent="0.2">
      <c r="A11" s="14"/>
      <c r="B11" s="14"/>
      <c r="C11" s="14"/>
      <c r="D11" s="14"/>
    </row>
    <row r="13" spans="1:4" x14ac:dyDescent="0.2">
      <c r="A13" s="7" t="s">
        <v>7</v>
      </c>
      <c r="B13" s="2"/>
    </row>
    <row r="14" spans="1:4" x14ac:dyDescent="0.2">
      <c r="A14" s="7" t="s">
        <v>8</v>
      </c>
      <c r="B14" s="2"/>
    </row>
  </sheetData>
  <mergeCells count="2">
    <mergeCell ref="A9:D11"/>
    <mergeCell ref="B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9"/>
  <sheetViews>
    <sheetView showGridLines="0" tabSelected="1" workbookViewId="0">
      <selection activeCell="C7" sqref="C7"/>
    </sheetView>
  </sheetViews>
  <sheetFormatPr baseColWidth="10" defaultColWidth="8.83203125" defaultRowHeight="15" x14ac:dyDescent="0.2"/>
  <cols>
    <col min="1" max="1" width="64" customWidth="1"/>
    <col min="2" max="2" width="5" customWidth="1"/>
    <col min="3" max="3" width="54" customWidth="1"/>
  </cols>
  <sheetData>
    <row r="1" spans="1:4" ht="20" x14ac:dyDescent="0.25">
      <c r="A1" s="1" t="s">
        <v>9</v>
      </c>
    </row>
    <row r="2" spans="1:4" x14ac:dyDescent="0.2">
      <c r="A2" s="6" t="s">
        <v>10</v>
      </c>
    </row>
    <row r="7" spans="1:4" ht="17" x14ac:dyDescent="0.2">
      <c r="A7" s="7" t="s">
        <v>11</v>
      </c>
      <c r="B7" s="6" t="s">
        <v>12</v>
      </c>
      <c r="C7" s="17" t="s">
        <v>86</v>
      </c>
      <c r="D7" t="s">
        <v>87</v>
      </c>
    </row>
    <row r="8" spans="1:4" x14ac:dyDescent="0.2">
      <c r="A8" s="7" t="s">
        <v>13</v>
      </c>
      <c r="B8" s="6" t="s">
        <v>12</v>
      </c>
      <c r="C8" s="8" t="s">
        <v>14</v>
      </c>
    </row>
    <row r="9" spans="1:4" x14ac:dyDescent="0.2">
      <c r="A9" s="6" t="s">
        <v>15</v>
      </c>
    </row>
    <row r="10" spans="1:4" x14ac:dyDescent="0.2">
      <c r="A10" s="9" t="s">
        <v>16</v>
      </c>
    </row>
    <row r="11" spans="1:4" x14ac:dyDescent="0.2">
      <c r="A11" s="9" t="s">
        <v>17</v>
      </c>
    </row>
    <row r="12" spans="1:4" x14ac:dyDescent="0.2">
      <c r="A12" s="9" t="s">
        <v>18</v>
      </c>
    </row>
    <row r="13" spans="1:4" x14ac:dyDescent="0.2">
      <c r="A13" s="9" t="s">
        <v>19</v>
      </c>
    </row>
    <row r="14" spans="1:4" x14ac:dyDescent="0.2">
      <c r="A14" s="9" t="s">
        <v>20</v>
      </c>
    </row>
    <row r="17" spans="1:1" x14ac:dyDescent="0.2">
      <c r="A17" s="9" t="s">
        <v>21</v>
      </c>
    </row>
    <row r="19" spans="1:1" x14ac:dyDescent="0.2">
      <c r="A19" s="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CD9D-CF62-6640-9415-F55B269ECF2F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3"/>
  <sheetViews>
    <sheetView showGridLines="0" workbookViewId="0">
      <selection activeCell="I9" sqref="I9"/>
    </sheetView>
  </sheetViews>
  <sheetFormatPr baseColWidth="10" defaultColWidth="8.83203125" defaultRowHeight="15" x14ac:dyDescent="0.2"/>
  <cols>
    <col min="1" max="1" width="22" customWidth="1"/>
    <col min="2" max="2" width="18" customWidth="1"/>
    <col min="3" max="4" width="12" customWidth="1"/>
    <col min="5" max="5" width="10" customWidth="1"/>
  </cols>
  <sheetData>
    <row r="1" spans="1:5" ht="20" x14ac:dyDescent="0.25">
      <c r="A1" s="1" t="s">
        <v>23</v>
      </c>
    </row>
    <row r="3" spans="1:5" x14ac:dyDescent="0.2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</row>
    <row r="4" spans="1:5" x14ac:dyDescent="0.2">
      <c r="A4" s="10" t="s">
        <v>29</v>
      </c>
      <c r="B4" s="10" t="s">
        <v>30</v>
      </c>
      <c r="C4" s="10">
        <v>45200</v>
      </c>
      <c r="D4" s="10">
        <v>320</v>
      </c>
      <c r="E4" s="10">
        <v>12</v>
      </c>
    </row>
    <row r="5" spans="1:5" x14ac:dyDescent="0.2">
      <c r="A5" s="10" t="s">
        <v>31</v>
      </c>
      <c r="B5" s="10" t="s">
        <v>32</v>
      </c>
      <c r="C5" s="10">
        <v>38100</v>
      </c>
      <c r="D5" s="10">
        <v>540</v>
      </c>
      <c r="E5" s="10">
        <v>25</v>
      </c>
    </row>
    <row r="6" spans="1:5" x14ac:dyDescent="0.2">
      <c r="A6" s="10" t="s">
        <v>33</v>
      </c>
      <c r="B6" s="10" t="s">
        <v>30</v>
      </c>
      <c r="C6" s="10">
        <v>52400</v>
      </c>
      <c r="D6" s="10">
        <v>410</v>
      </c>
      <c r="E6" s="10">
        <v>8</v>
      </c>
    </row>
    <row r="7" spans="1:5" x14ac:dyDescent="0.2">
      <c r="A7" s="10" t="s">
        <v>34</v>
      </c>
      <c r="B7" s="10" t="s">
        <v>35</v>
      </c>
      <c r="C7" s="10">
        <v>31800</v>
      </c>
      <c r="D7" s="10">
        <v>210</v>
      </c>
      <c r="E7" s="10">
        <v>18</v>
      </c>
    </row>
    <row r="8" spans="1:5" x14ac:dyDescent="0.2">
      <c r="A8" s="10" t="s">
        <v>36</v>
      </c>
      <c r="B8" s="10" t="s">
        <v>32</v>
      </c>
      <c r="C8" s="10">
        <v>41500</v>
      </c>
      <c r="D8" s="10">
        <v>600</v>
      </c>
      <c r="E8" s="10">
        <v>30</v>
      </c>
    </row>
    <row r="9" spans="1:5" x14ac:dyDescent="0.2">
      <c r="A9" s="10" t="s">
        <v>37</v>
      </c>
      <c r="B9" s="10" t="s">
        <v>30</v>
      </c>
      <c r="C9" s="10">
        <v>58700</v>
      </c>
      <c r="D9" s="10">
        <v>470</v>
      </c>
      <c r="E9" s="10">
        <v>6</v>
      </c>
    </row>
    <row r="10" spans="1:5" x14ac:dyDescent="0.2">
      <c r="A10" s="10" t="s">
        <v>38</v>
      </c>
      <c r="B10" s="10" t="s">
        <v>35</v>
      </c>
      <c r="C10" s="10">
        <v>29400</v>
      </c>
      <c r="D10" s="10">
        <v>190</v>
      </c>
      <c r="E10" s="10">
        <v>22</v>
      </c>
    </row>
    <row r="11" spans="1:5" x14ac:dyDescent="0.2">
      <c r="A11" s="10" t="s">
        <v>39</v>
      </c>
      <c r="B11" s="10" t="s">
        <v>32</v>
      </c>
      <c r="C11" s="10">
        <v>43600</v>
      </c>
      <c r="D11" s="10">
        <v>580</v>
      </c>
      <c r="E11" s="10">
        <v>28</v>
      </c>
    </row>
    <row r="12" spans="1:5" x14ac:dyDescent="0.2">
      <c r="A12" s="10" t="s">
        <v>40</v>
      </c>
      <c r="B12" s="10" t="s">
        <v>30</v>
      </c>
      <c r="C12" s="10">
        <v>61200</v>
      </c>
      <c r="D12" s="10">
        <v>500</v>
      </c>
      <c r="E12" s="10">
        <v>5</v>
      </c>
    </row>
    <row r="13" spans="1:5" x14ac:dyDescent="0.2">
      <c r="A13" s="10" t="s">
        <v>41</v>
      </c>
      <c r="B13" s="10" t="s">
        <v>35</v>
      </c>
      <c r="C13" s="10">
        <v>34700</v>
      </c>
      <c r="D13" s="10">
        <v>230</v>
      </c>
      <c r="E13" s="10">
        <v>16</v>
      </c>
    </row>
    <row r="14" spans="1:5" x14ac:dyDescent="0.2">
      <c r="A14" s="10" t="s">
        <v>42</v>
      </c>
      <c r="B14" s="10" t="s">
        <v>32</v>
      </c>
      <c r="C14" s="10">
        <v>39800</v>
      </c>
      <c r="D14" s="10">
        <v>560</v>
      </c>
      <c r="E14" s="10">
        <v>26</v>
      </c>
    </row>
    <row r="15" spans="1:5" x14ac:dyDescent="0.2">
      <c r="A15" s="10" t="s">
        <v>43</v>
      </c>
      <c r="B15" s="10" t="s">
        <v>30</v>
      </c>
      <c r="C15" s="10">
        <v>55300</v>
      </c>
      <c r="D15" s="10">
        <v>440</v>
      </c>
      <c r="E15" s="10">
        <v>9</v>
      </c>
    </row>
    <row r="18" spans="1:3" x14ac:dyDescent="0.2">
      <c r="A18" s="5" t="s">
        <v>44</v>
      </c>
    </row>
    <row r="19" spans="1:3" x14ac:dyDescent="0.2">
      <c r="A19" s="6" t="s">
        <v>45</v>
      </c>
    </row>
    <row r="21" spans="1:3" x14ac:dyDescent="0.2">
      <c r="A21" s="9" t="s">
        <v>46</v>
      </c>
      <c r="C21" s="11" t="e">
        <f ca="1">GPT_CALC("total revenue", C4:C15)</f>
        <v>#NAME?</v>
      </c>
    </row>
    <row r="22" spans="1:3" x14ac:dyDescent="0.2">
      <c r="A22" s="9" t="s">
        <v>47</v>
      </c>
      <c r="C22" s="11" t="e">
        <f ca="1">GPT_ASK("Which product category earns the most and by how much?", A3:E15)</f>
        <v>#NAME?</v>
      </c>
    </row>
    <row r="23" spans="1:3" x14ac:dyDescent="0.2">
      <c r="A23" s="9" t="s">
        <v>48</v>
      </c>
      <c r="C23" s="11" t="s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21"/>
  <sheetViews>
    <sheetView showGridLines="0" workbookViewId="0"/>
  </sheetViews>
  <sheetFormatPr baseColWidth="10" defaultColWidth="8.83203125" defaultRowHeight="15" x14ac:dyDescent="0.2"/>
  <cols>
    <col min="1" max="2" width="14" customWidth="1"/>
    <col min="3" max="3" width="12" customWidth="1"/>
  </cols>
  <sheetData>
    <row r="1" spans="1:2" ht="20" x14ac:dyDescent="0.25">
      <c r="A1" s="1" t="s">
        <v>49</v>
      </c>
    </row>
    <row r="3" spans="1:2" x14ac:dyDescent="0.2">
      <c r="A3" s="4" t="s">
        <v>50</v>
      </c>
      <c r="B3" s="4" t="s">
        <v>51</v>
      </c>
    </row>
    <row r="4" spans="1:2" x14ac:dyDescent="0.2">
      <c r="A4" s="10">
        <v>1000</v>
      </c>
      <c r="B4" s="10">
        <v>8200</v>
      </c>
    </row>
    <row r="5" spans="1:2" x14ac:dyDescent="0.2">
      <c r="A5" s="10">
        <v>2000</v>
      </c>
      <c r="B5" s="10">
        <v>11500</v>
      </c>
    </row>
    <row r="6" spans="1:2" x14ac:dyDescent="0.2">
      <c r="A6" s="10">
        <v>3000</v>
      </c>
      <c r="B6" s="10">
        <v>15100</v>
      </c>
    </row>
    <row r="7" spans="1:2" x14ac:dyDescent="0.2">
      <c r="A7" s="10">
        <v>4000</v>
      </c>
      <c r="B7" s="10">
        <v>17800</v>
      </c>
    </row>
    <row r="8" spans="1:2" x14ac:dyDescent="0.2">
      <c r="A8" s="10">
        <v>5000</v>
      </c>
      <c r="B8" s="10">
        <v>22400</v>
      </c>
    </row>
    <row r="9" spans="1:2" x14ac:dyDescent="0.2">
      <c r="A9" s="10">
        <v>6000</v>
      </c>
      <c r="B9" s="10">
        <v>25100</v>
      </c>
    </row>
    <row r="10" spans="1:2" x14ac:dyDescent="0.2">
      <c r="A10" s="10">
        <v>7000</v>
      </c>
      <c r="B10" s="10">
        <v>29800</v>
      </c>
    </row>
    <row r="11" spans="1:2" x14ac:dyDescent="0.2">
      <c r="A11" s="10">
        <v>8000</v>
      </c>
      <c r="B11" s="10">
        <v>31200</v>
      </c>
    </row>
    <row r="12" spans="1:2" x14ac:dyDescent="0.2">
      <c r="A12" s="10">
        <v>9000</v>
      </c>
      <c r="B12" s="10">
        <v>36500</v>
      </c>
    </row>
    <row r="13" spans="1:2" x14ac:dyDescent="0.2">
      <c r="A13" s="10">
        <v>10000</v>
      </c>
      <c r="B13" s="10">
        <v>39100</v>
      </c>
    </row>
    <row r="16" spans="1:2" x14ac:dyDescent="0.2">
      <c r="A16" s="5" t="s">
        <v>44</v>
      </c>
    </row>
    <row r="17" spans="1:3" x14ac:dyDescent="0.2">
      <c r="A17" s="6" t="s">
        <v>45</v>
      </c>
    </row>
    <row r="19" spans="1:3" x14ac:dyDescent="0.2">
      <c r="A19" s="9" t="s">
        <v>52</v>
      </c>
      <c r="C19" s="11" t="e">
        <f ca="1">GPT_ASK("Describe the relationship between ad spend and sales.", A3:B13)</f>
        <v>#NAME?</v>
      </c>
    </row>
    <row r="20" spans="1:3" x14ac:dyDescent="0.2">
      <c r="A20" s="9" t="s">
        <v>53</v>
      </c>
      <c r="C20" s="11" t="e">
        <f ca="1">GPT_CALC("the slope of sales versus ad spend, as sales gained per one dollar", A3:B13)</f>
        <v>#NAME?</v>
      </c>
    </row>
    <row r="21" spans="1:3" x14ac:dyDescent="0.2">
      <c r="A21" s="9" t="s">
        <v>54</v>
      </c>
      <c r="C21" s="11" t="e">
        <f ca="1">GPT_ASK("Predict the sales if ad spend is 9500, and briefly explain.", A3:B13)</f>
        <v>#NAME?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17"/>
  <sheetViews>
    <sheetView showGridLines="0" workbookViewId="0"/>
  </sheetViews>
  <sheetFormatPr baseColWidth="10" defaultColWidth="8.83203125" defaultRowHeight="15" x14ac:dyDescent="0.2"/>
  <cols>
    <col min="1" max="1" width="64" customWidth="1"/>
    <col min="3" max="3" width="12" customWidth="1"/>
  </cols>
  <sheetData>
    <row r="1" spans="1:3" ht="20" x14ac:dyDescent="0.25">
      <c r="A1" s="1" t="s">
        <v>55</v>
      </c>
    </row>
    <row r="3" spans="1:3" x14ac:dyDescent="0.2">
      <c r="A3" s="4" t="s">
        <v>56</v>
      </c>
    </row>
    <row r="4" spans="1:3" x14ac:dyDescent="0.2">
      <c r="A4" s="10" t="s">
        <v>57</v>
      </c>
    </row>
    <row r="5" spans="1:3" x14ac:dyDescent="0.2">
      <c r="A5" s="10" t="s">
        <v>58</v>
      </c>
    </row>
    <row r="6" spans="1:3" x14ac:dyDescent="0.2">
      <c r="A6" s="10" t="s">
        <v>59</v>
      </c>
    </row>
    <row r="7" spans="1:3" x14ac:dyDescent="0.2">
      <c r="A7" s="10" t="s">
        <v>60</v>
      </c>
    </row>
    <row r="8" spans="1:3" x14ac:dyDescent="0.2">
      <c r="A8" s="10" t="s">
        <v>61</v>
      </c>
    </row>
    <row r="9" spans="1:3" x14ac:dyDescent="0.2">
      <c r="A9" s="10" t="s">
        <v>62</v>
      </c>
    </row>
    <row r="12" spans="1:3" x14ac:dyDescent="0.2">
      <c r="A12" s="5" t="s">
        <v>44</v>
      </c>
    </row>
    <row r="13" spans="1:3" x14ac:dyDescent="0.2">
      <c r="A13" s="6" t="s">
        <v>45</v>
      </c>
    </row>
    <row r="15" spans="1:3" x14ac:dyDescent="0.2">
      <c r="A15" s="9" t="s">
        <v>63</v>
      </c>
      <c r="C15" s="11" t="e">
        <f ca="1">GPT_ASK("Summarize the main themes across all these reviews in 2 sentences.", A3:A9)</f>
        <v>#NAME?</v>
      </c>
    </row>
    <row r="16" spans="1:3" x14ac:dyDescent="0.2">
      <c r="A16" s="9" t="s">
        <v>64</v>
      </c>
      <c r="C16" s="11" t="e">
        <f ca="1">GPT_ASK("What is the overall sentiment and the most common complaint?", A3:A9)</f>
        <v>#NAME?</v>
      </c>
    </row>
    <row r="17" spans="1:3" x14ac:dyDescent="0.2">
      <c r="A17" s="9" t="s">
        <v>65</v>
      </c>
      <c r="C17" s="11" t="e">
        <f ca="1">GPT("Summarize this review in five words: " &amp; A4)</f>
        <v>#NAME?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15"/>
  <sheetViews>
    <sheetView showGridLines="0" workbookViewId="0">
      <selection activeCell="B9" sqref="B9"/>
    </sheetView>
  </sheetViews>
  <sheetFormatPr baseColWidth="10" defaultColWidth="8.83203125" defaultRowHeight="15" x14ac:dyDescent="0.2"/>
  <cols>
    <col min="1" max="1" width="44" customWidth="1"/>
    <col min="2" max="2" width="46" customWidth="1"/>
    <col min="3" max="3" width="12" customWidth="1"/>
  </cols>
  <sheetData>
    <row r="1" spans="1:3" ht="20" x14ac:dyDescent="0.25">
      <c r="A1" s="1" t="s">
        <v>66</v>
      </c>
    </row>
    <row r="3" spans="1:3" x14ac:dyDescent="0.2">
      <c r="A3" s="4" t="s">
        <v>67</v>
      </c>
      <c r="B3" s="4" t="s">
        <v>68</v>
      </c>
    </row>
    <row r="4" spans="1:3" x14ac:dyDescent="0.2">
      <c r="A4" s="10" t="s">
        <v>69</v>
      </c>
      <c r="B4" s="12" t="e">
        <f ca="1">GPT("Classify as Positive, Negative, or Neutral. Reply with one word only: " &amp; A4)</f>
        <v>#NAME?</v>
      </c>
    </row>
    <row r="5" spans="1:3" x14ac:dyDescent="0.2">
      <c r="A5" s="10" t="s">
        <v>70</v>
      </c>
      <c r="B5" s="12" t="e">
        <f ca="1">GPT("Classify as Positive, Negative, or Neutral. Reply with one word only: " &amp; A5)</f>
        <v>#NAME?</v>
      </c>
    </row>
    <row r="6" spans="1:3" x14ac:dyDescent="0.2">
      <c r="A6" s="10" t="s">
        <v>71</v>
      </c>
      <c r="B6" s="12" t="e">
        <f ca="1">GPT("Classify as Positive, Negative, or Neutral. Reply with one word only: " &amp; A6)</f>
        <v>#NAME?</v>
      </c>
    </row>
    <row r="7" spans="1:3" x14ac:dyDescent="0.2">
      <c r="A7" s="10" t="s">
        <v>72</v>
      </c>
      <c r="B7" s="12" t="e">
        <f ca="1">GPT("Classify as Positive, Negative, or Neutral. Reply with one word only: " &amp; A7)</f>
        <v>#NAME?</v>
      </c>
    </row>
    <row r="8" spans="1:3" x14ac:dyDescent="0.2">
      <c r="A8" s="10" t="s">
        <v>73</v>
      </c>
      <c r="B8" s="12" t="e">
        <f ca="1">GPT("Classify as Positive, Negative, or Neutral. Reply with one word only: " &amp; A8)</f>
        <v>#NAME?</v>
      </c>
    </row>
    <row r="11" spans="1:3" x14ac:dyDescent="0.2">
      <c r="A11" s="5" t="s">
        <v>74</v>
      </c>
    </row>
    <row r="12" spans="1:3" x14ac:dyDescent="0.2">
      <c r="A12" s="6" t="s">
        <v>45</v>
      </c>
    </row>
    <row r="14" spans="1:3" x14ac:dyDescent="0.2">
      <c r="A14" s="9" t="s">
        <v>75</v>
      </c>
      <c r="C14" s="11" t="e">
        <f ca="1">GPT("Classify ... one word only: " &amp; A4)</f>
        <v>#NAME?</v>
      </c>
    </row>
    <row r="15" spans="1:3" x14ac:dyDescent="0.2">
      <c r="A15" s="9" t="s">
        <v>76</v>
      </c>
      <c r="C15" s="11" t="e">
        <f ca="1">GPT("Is this message urgent? Reply Yes or No: " &amp; A4)</f>
        <v>#NAME?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13"/>
  <sheetViews>
    <sheetView showGridLines="0" workbookViewId="0"/>
  </sheetViews>
  <sheetFormatPr baseColWidth="10" defaultColWidth="8.83203125" defaultRowHeight="15" x14ac:dyDescent="0.2"/>
  <cols>
    <col min="1" max="1" width="18" customWidth="1"/>
    <col min="3" max="3" width="12" customWidth="1"/>
  </cols>
  <sheetData>
    <row r="1" spans="1:3" ht="20" x14ac:dyDescent="0.25">
      <c r="A1" s="1" t="s">
        <v>77</v>
      </c>
    </row>
    <row r="3" spans="1:3" x14ac:dyDescent="0.2">
      <c r="A3" s="4" t="s">
        <v>78</v>
      </c>
    </row>
    <row r="4" spans="1:3" x14ac:dyDescent="0.2">
      <c r="A4" s="10" t="s">
        <v>79</v>
      </c>
    </row>
    <row r="5" spans="1:3" x14ac:dyDescent="0.2">
      <c r="A5" s="10" t="s">
        <v>80</v>
      </c>
    </row>
    <row r="6" spans="1:3" x14ac:dyDescent="0.2">
      <c r="A6" s="10" t="s">
        <v>81</v>
      </c>
    </row>
    <row r="8" spans="1:3" x14ac:dyDescent="0.2">
      <c r="A8" s="5" t="s">
        <v>44</v>
      </c>
    </row>
    <row r="9" spans="1:3" x14ac:dyDescent="0.2">
      <c r="A9" s="6" t="s">
        <v>45</v>
      </c>
    </row>
    <row r="11" spans="1:3" x14ac:dyDescent="0.2">
      <c r="A11" s="9" t="s">
        <v>82</v>
      </c>
      <c r="C11" s="11" t="e">
        <f ca="1">GPT("Give me 3 KPIs a retail sales manager should track.")</f>
        <v>#NAME?</v>
      </c>
    </row>
    <row r="12" spans="1:3" x14ac:dyDescent="0.2">
      <c r="A12" s="9" t="s">
        <v>83</v>
      </c>
      <c r="C12" s="11" t="e">
        <f ca="1">GPT("Translate to Spanish: Thank you for your order.")</f>
        <v>#NAME?</v>
      </c>
    </row>
    <row r="13" spans="1:3" x14ac:dyDescent="0.2">
      <c r="A13" s="9" t="s">
        <v>84</v>
      </c>
      <c r="C13" s="11" t="e">
        <f ca="1">GPT("Write a one line thank you email to a customer named " &amp; A4)</f>
        <v>#NAME?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Excel 4.0 Macros</vt:lpstr>
      </vt:variant>
      <vt:variant>
        <vt:i4>1</vt:i4>
      </vt:variant>
    </vt:vector>
  </HeadingPairs>
  <TitlesOfParts>
    <vt:vector size="8" baseType="lpstr">
      <vt:lpstr>Student Info</vt:lpstr>
      <vt:lpstr>Setup</vt:lpstr>
      <vt:lpstr>Sales</vt:lpstr>
      <vt:lpstr>Regression</vt:lpstr>
      <vt:lpstr>Reviews</vt:lpstr>
      <vt:lpstr>Classify</vt:lpstr>
      <vt:lpstr>Ask Anything</vt:lpstr>
      <vt:lpstr>Macro1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Dehghani, Mohammad</cp:lastModifiedBy>
  <dcterms:created xsi:type="dcterms:W3CDTF">2026-07-29T00:21:43Z</dcterms:created>
  <dcterms:modified xsi:type="dcterms:W3CDTF">2026-07-29T03:00:00Z</dcterms:modified>
</cp:coreProperties>
</file>